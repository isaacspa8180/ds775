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624" codeName="{00000000-0000-0000-0000-000000000000}"/>
  <workbookPr date1904="1" showInkAnnotation="0" codeName="ThisWorkbook" checkCompatibility="1" autoCompressPictures="0"/>
  <bookViews>
    <workbookView xWindow="160" yWindow="-20" windowWidth="18240" windowHeight="16480" tabRatio="702"/>
  </bookViews>
  <sheets>
    <sheet name="Queuing Simulator" sheetId="6" r:id="rId1"/>
    <sheet name="Sheet1" sheetId="2049" r:id="rId2"/>
  </sheets>
  <definedNames>
    <definedName name="beta">#REF!</definedName>
    <definedName name="InitialTrend">#REF!</definedName>
    <definedName name="sencount" hidden="1">4</definedName>
    <definedName name="sencount2" hidden="1">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6" l="1"/>
  <c r="B13" i="6"/>
  <c r="B9" i="6"/>
  <c r="B8" i="6"/>
</calcChain>
</file>

<file path=xl/sharedStrings.xml><?xml version="1.0" encoding="utf-8"?>
<sst xmlns="http://schemas.openxmlformats.org/spreadsheetml/2006/main" count="32" uniqueCount="31">
  <si>
    <r>
      <t>L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=</t>
    </r>
  </si>
  <si>
    <r>
      <t>W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</si>
  <si>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</si>
  <si>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</si>
  <si>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</si>
  <si>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</si>
  <si>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</si>
  <si>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5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</si>
  <si>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</si>
  <si>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 xml:space="preserve">7 </t>
    </r>
    <r>
      <rPr>
        <sz val="10"/>
        <rFont val="Arial"/>
        <family val="2"/>
      </rPr>
      <t>=</t>
    </r>
  </si>
  <si>
    <r>
      <t>P</t>
    </r>
    <r>
      <rPr>
        <vertAlign val="subscript"/>
        <sz val="10"/>
        <rFont val="Arial"/>
        <family val="2"/>
      </rPr>
      <t>8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</si>
  <si>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9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</si>
  <si>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10</t>
    </r>
    <r>
      <rPr>
        <sz val="10"/>
        <rFont val="Arial"/>
        <family val="2"/>
      </rPr>
      <t xml:space="preserve"> =</t>
    </r>
  </si>
  <si>
    <t>Uniform</t>
  </si>
  <si>
    <t>Template for Queueing Simulation</t>
  </si>
  <si>
    <t>Number of Servers =</t>
  </si>
  <si>
    <t>Service Times</t>
  </si>
  <si>
    <t>Distribution =</t>
  </si>
  <si>
    <t>Interarrival Times</t>
  </si>
  <si>
    <t>Exponential</t>
  </si>
  <si>
    <t>Point</t>
  </si>
  <si>
    <t>Estimate</t>
  </si>
  <si>
    <t>Low</t>
  </si>
  <si>
    <t>High</t>
  </si>
  <si>
    <t>95% Confidence Interval</t>
  </si>
  <si>
    <t>L =</t>
  </si>
  <si>
    <t>W =</t>
  </si>
  <si>
    <t>Results</t>
  </si>
  <si>
    <t>Data</t>
  </si>
  <si>
    <t>Number of Arrivals =</t>
  </si>
  <si>
    <t>Length of Simulation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</si>
</sst>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9"/>
      <name val="Geneva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/>
    <xf numFmtId="0" fontId="1" fillId="2" borderId="0" xfId="0" applyFont="1" applyFill="1" applyBorder="1" applyAlignment="1">
      <alignment horizontal="center"/>
    </xf>
    <xf numFmtId="3" fontId="1" fillId="2" borderId="0" xfId="0" applyNumberFormat="1" applyFont="1" applyFill="1" applyBorder="1" applyAlignment="1">
      <alignment horizontal="center"/>
    </xf>
    <xf numFmtId="0" fontId="1" fillId="3" borderId="9" xfId="0" applyNumberFormat="1" applyFont="1" applyFill="1" applyBorder="1" applyAlignment="1">
      <alignment horizontal="center"/>
    </xf>
    <xf numFmtId="0" fontId="1" fillId="3" borderId="0" xfId="0" applyNumberFormat="1" applyFont="1" applyFill="1" applyBorder="1"/>
    <xf numFmtId="0" fontId="1" fillId="3" borderId="10" xfId="0" applyNumberFormat="1" applyFont="1" applyFill="1" applyBorder="1"/>
    <xf numFmtId="0" fontId="1" fillId="3" borderId="11" xfId="0" applyNumberFormat="1" applyFont="1" applyFill="1" applyBorder="1" applyAlignment="1">
      <alignment horizontal="center"/>
    </xf>
    <xf numFmtId="0" fontId="1" fillId="3" borderId="12" xfId="0" applyNumberFormat="1" applyFont="1" applyFill="1" applyBorder="1"/>
    <xf numFmtId="0" fontId="1" fillId="3" borderId="13" xfId="0" applyNumberFormat="1" applyFont="1" applyFill="1" applyBorder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</cellXfs>
  <cellStyles count="1">
    <cellStyle name="Normal" xfId="0" builtinId="0"/>
  </cellStyles>
  <dxfs count="2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1026" name="AutoShape 2" descr="712ee6ff-9d2e-4cee-b5c5-e443afc55086"/>
        <xdr:cNvSpPr>
          <a:spLocks noChangeArrowheads="1"/>
        </xdr:cNvSpPr>
      </xdr:nvSpPr>
      <xdr:spPr bwMode="auto">
        <a:xfrm>
          <a:off x="752475" y="3686175"/>
          <a:ext cx="1209675" cy="276225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pageSetUpPr fitToPage="1"/>
  </sheetPr>
  <dimension ref="A1:H21"/>
  <sheetViews>
    <sheetView tabSelected="1" workbookViewId="0"/>
  </sheetViews>
  <sheetFormatPr baseColWidth="10" defaultColWidth="10.83203125" defaultRowHeight="12" x14ac:dyDescent="0"/>
  <cols>
    <col min="1" max="1" width="2.83203125" style="1" customWidth="1"/>
    <col min="2" max="2" width="21.5" style="1" bestFit="1" customWidth="1"/>
    <col min="3" max="3" width="19.6640625" style="3" bestFit="1" customWidth="1"/>
    <col min="4" max="4" width="10.83203125" style="1" customWidth="1"/>
    <col min="5" max="5" width="5.5" style="1" customWidth="1"/>
    <col min="6" max="6" width="10.83203125" style="3" customWidth="1"/>
    <col min="7" max="8" width="12.83203125" style="1" customWidth="1"/>
    <col min="9" max="16384" width="10.83203125" style="1"/>
  </cols>
  <sheetData>
    <row r="1" spans="1:8" ht="17">
      <c r="A1" s="2" t="s">
        <v>14</v>
      </c>
    </row>
    <row r="3" spans="1:8" ht="13" thickBot="1">
      <c r="C3" s="4" t="s">
        <v>28</v>
      </c>
      <c r="F3" s="1"/>
      <c r="G3" s="5" t="s">
        <v>27</v>
      </c>
    </row>
    <row r="4" spans="1:8">
      <c r="B4" s="14" t="s">
        <v>15</v>
      </c>
      <c r="C4" s="18">
        <v>1</v>
      </c>
      <c r="E4" s="6"/>
      <c r="F4" s="7" t="s">
        <v>20</v>
      </c>
      <c r="G4" s="26" t="s">
        <v>24</v>
      </c>
      <c r="H4" s="27"/>
    </row>
    <row r="5" spans="1:8">
      <c r="B5" s="15"/>
      <c r="C5" s="16"/>
      <c r="E5" s="8"/>
      <c r="F5" s="9" t="s">
        <v>21</v>
      </c>
      <c r="G5" s="10" t="s">
        <v>22</v>
      </c>
      <c r="H5" s="11" t="s">
        <v>23</v>
      </c>
    </row>
    <row r="6" spans="1:8">
      <c r="B6" s="17" t="s">
        <v>18</v>
      </c>
      <c r="C6" s="16"/>
      <c r="E6" s="12" t="s">
        <v>25</v>
      </c>
      <c r="F6" s="20">
        <v>1.3799719838486941</v>
      </c>
      <c r="G6" s="21">
        <v>1.2908206794280068</v>
      </c>
      <c r="H6" s="22">
        <v>1.4691232882693814</v>
      </c>
    </row>
    <row r="7" spans="1:8">
      <c r="B7" s="14" t="s">
        <v>17</v>
      </c>
      <c r="C7" s="18" t="s">
        <v>19</v>
      </c>
      <c r="E7" s="12" t="s">
        <v>0</v>
      </c>
      <c r="F7" s="20">
        <v>0.70878467174288295</v>
      </c>
      <c r="G7" s="21">
        <v>0.63019731831428527</v>
      </c>
      <c r="H7" s="22">
        <v>0.78737202517148064</v>
      </c>
    </row>
    <row r="8" spans="1:8">
      <c r="B8" s="14" t="str">
        <f>IF(C7="Constant","Value =",IF(C7="Erlang","Mean =",IF(C7="Exponential","Mean =",IF(C7="Translated Exponential","Minimum Value =","Minimum Value ="))))</f>
        <v>Mean =</v>
      </c>
      <c r="C8" s="18">
        <v>30</v>
      </c>
      <c r="E8" s="12" t="s">
        <v>26</v>
      </c>
      <c r="F8" s="20">
        <v>41.227638192548476</v>
      </c>
      <c r="G8" s="21">
        <v>39.150574884042925</v>
      </c>
      <c r="H8" s="22">
        <v>43.304701501054026</v>
      </c>
    </row>
    <row r="9" spans="1:8">
      <c r="B9" s="14" t="str">
        <f>IF(C7="Erlang","k =",IF(C7="Translated Exponential","Mean =",IF(C7="Uniform","Maximum Value =","")))</f>
        <v/>
      </c>
      <c r="C9" s="18">
        <v>5</v>
      </c>
      <c r="E9" s="12" t="s">
        <v>1</v>
      </c>
      <c r="F9" s="20">
        <v>21.175442940183473</v>
      </c>
      <c r="G9" s="21">
        <v>19.112004464794758</v>
      </c>
      <c r="H9" s="22">
        <v>23.238881415572187</v>
      </c>
    </row>
    <row r="10" spans="1:8">
      <c r="B10" s="15"/>
      <c r="C10" s="16"/>
      <c r="E10" s="12"/>
      <c r="F10" s="20"/>
      <c r="G10" s="21"/>
      <c r="H10" s="22"/>
    </row>
    <row r="11" spans="1:8">
      <c r="B11" s="17" t="s">
        <v>16</v>
      </c>
      <c r="C11" s="16"/>
      <c r="E11" s="12" t="s">
        <v>2</v>
      </c>
      <c r="F11" s="20">
        <v>0.32881268789418849</v>
      </c>
      <c r="G11" s="21">
        <v>0.31513042838277905</v>
      </c>
      <c r="H11" s="22">
        <v>0.34249494740559794</v>
      </c>
    </row>
    <row r="12" spans="1:8">
      <c r="B12" s="14" t="s">
        <v>17</v>
      </c>
      <c r="C12" s="18" t="s">
        <v>13</v>
      </c>
      <c r="E12" s="12" t="s">
        <v>3</v>
      </c>
      <c r="F12" s="20">
        <v>0.30616844439398821</v>
      </c>
      <c r="G12" s="21">
        <v>0.29656860640705995</v>
      </c>
      <c r="H12" s="22">
        <v>0.31576828238091648</v>
      </c>
    </row>
    <row r="13" spans="1:8">
      <c r="B13" s="14" t="str">
        <f>IF(C12="Constant","Value =",IF(C12="Erlang","Mean =",IF(C12="Exponential","Mean =",IF(C12="Translated Exponential","Minimum Value =","Minimum Value ="))))</f>
        <v>Minimum Value =</v>
      </c>
      <c r="C13" s="18">
        <v>15</v>
      </c>
      <c r="E13" s="12" t="s">
        <v>4</v>
      </c>
      <c r="F13" s="20">
        <v>0.18212855264259625</v>
      </c>
      <c r="G13" s="21">
        <v>0.17527634079865331</v>
      </c>
      <c r="H13" s="22">
        <v>0.18898076448653919</v>
      </c>
    </row>
    <row r="14" spans="1:8">
      <c r="B14" s="14" t="str">
        <f>IF(C12="Erlang","k =",IF(C12="Translated Exponential","Mean =",IF(C12="Uniform","Maximum Value =","")))</f>
        <v>Maximum Value =</v>
      </c>
      <c r="C14" s="18">
        <v>25</v>
      </c>
      <c r="E14" s="12" t="s">
        <v>5</v>
      </c>
      <c r="F14" s="20">
        <v>9.4772902926488115E-2</v>
      </c>
      <c r="G14" s="21">
        <v>8.7755749735001914E-2</v>
      </c>
      <c r="H14" s="22">
        <v>0.10179005611797431</v>
      </c>
    </row>
    <row r="15" spans="1:8">
      <c r="B15" s="15"/>
      <c r="C15" s="16"/>
      <c r="E15" s="12" t="s">
        <v>6</v>
      </c>
      <c r="F15" s="20">
        <v>4.7243944700239786E-2</v>
      </c>
      <c r="G15" s="21">
        <v>4.1323531468636744E-2</v>
      </c>
      <c r="H15" s="22">
        <v>5.3164357931842827E-2</v>
      </c>
    </row>
    <row r="16" spans="1:8">
      <c r="B16" s="17" t="s">
        <v>30</v>
      </c>
      <c r="C16" s="16"/>
      <c r="E16" s="12" t="s">
        <v>7</v>
      </c>
      <c r="F16" s="20">
        <v>2.3068120967789804E-2</v>
      </c>
      <c r="G16" s="21">
        <v>1.8213982379711235E-2</v>
      </c>
      <c r="H16" s="22">
        <v>2.7922259555868374E-2</v>
      </c>
    </row>
    <row r="17" spans="2:8">
      <c r="B17" s="14" t="s">
        <v>29</v>
      </c>
      <c r="C17" s="19">
        <v>10000</v>
      </c>
      <c r="E17" s="12" t="s">
        <v>8</v>
      </c>
      <c r="F17" s="20">
        <v>1.0562398638336483E-2</v>
      </c>
      <c r="G17" s="21">
        <v>7.2957301901829148E-3</v>
      </c>
      <c r="H17" s="22">
        <v>1.3829067086490052E-2</v>
      </c>
    </row>
    <row r="18" spans="2:8">
      <c r="E18" s="12" t="s">
        <v>9</v>
      </c>
      <c r="F18" s="20">
        <v>3.838684903151333E-3</v>
      </c>
      <c r="G18" s="21">
        <v>1.886332501572902E-3</v>
      </c>
      <c r="H18" s="22">
        <v>5.7910373047297637E-3</v>
      </c>
    </row>
    <row r="19" spans="2:8">
      <c r="E19" s="12" t="s">
        <v>10</v>
      </c>
      <c r="F19" s="20">
        <v>1.8577920132121705E-3</v>
      </c>
      <c r="G19" s="21">
        <v>2.6185382926476215E-4</v>
      </c>
      <c r="H19" s="22">
        <v>3.4537301971595789E-3</v>
      </c>
    </row>
    <row r="20" spans="2:8">
      <c r="E20" s="12" t="s">
        <v>11</v>
      </c>
      <c r="F20" s="20">
        <v>8.3878399413966583E-4</v>
      </c>
      <c r="G20" s="21">
        <v>-2.0558524126345896E-4</v>
      </c>
      <c r="H20" s="22">
        <v>1.8831532295427906E-3</v>
      </c>
    </row>
    <row r="21" spans="2:8" ht="13" thickBot="1">
      <c r="E21" s="13" t="s">
        <v>12</v>
      </c>
      <c r="F21" s="23">
        <v>2.6638993526051884E-4</v>
      </c>
      <c r="G21" s="24">
        <v>-1.4550162680460911E-4</v>
      </c>
      <c r="H21" s="25">
        <v>6.7828149732564679E-4</v>
      </c>
    </row>
  </sheetData>
  <mergeCells count="1">
    <mergeCell ref="G4:H4"/>
  </mergeCells>
  <phoneticPr fontId="0" type="noConversion"/>
  <conditionalFormatting sqref="C9">
    <cfRule type="expression" dxfId="1" priority="1" stopIfTrue="1">
      <formula>OR(C7="Exponential",C7="Constant")</formula>
    </cfRule>
  </conditionalFormatting>
  <conditionalFormatting sqref="C14">
    <cfRule type="expression" dxfId="0" priority="2" stopIfTrue="1">
      <formula>OR(C12="Constant",C12="Exponential")</formula>
    </cfRule>
  </conditionalFormatting>
  <dataValidations count="4">
    <dataValidation type="list" allowBlank="1" showInputMessage="1" showErrorMessage="1" sqref="C7">
      <formula1>"Constant,Erlang,Exponential,Translated Exponential,Uniform"</formula1>
    </dataValidation>
    <dataValidation type="list" allowBlank="1" showInputMessage="1" showErrorMessage="1" sqref="C12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>
      <formula1>1</formula1>
      <formula2>1000000</formula2>
    </dataValidation>
    <dataValidation type="whole" allowBlank="1" showInputMessage="1" showErrorMessage="1" error="The number of servers must be between 1 and 25 (inclusive)." sqref="C4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pageSetUpPr fitToPage="1"/>
  </sheetPr>
  <dimension ref="A1"/>
  <sheetViews>
    <sheetView workbookViewId="0"/>
  </sheetViews>
  <sheetFormatPr baseColWidth="10" defaultColWidth="10.83203125" defaultRowHeight="12" x14ac:dyDescent="0"/>
  <cols>
    <col min="1" max="16384" width="10.83203125" style="1"/>
  </cols>
  <sheetData/>
  <phoneticPr fontId="0" type="noConversion"/>
  <pageMargins left="0.75" right="0.75" top="1" bottom="1" header="0.5" footer="0.5"/>
  <pageSetup paperSize="0" orientation="landscape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Queuing Simulator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Hillier</dc:creator>
  <cp:lastModifiedBy>Mark Hillier</cp:lastModifiedBy>
  <cp:lastPrinted>1999-06-01T06:51:53Z</cp:lastPrinted>
  <dcterms:created xsi:type="dcterms:W3CDTF">1999-02-21T04:48:26Z</dcterms:created>
  <dcterms:modified xsi:type="dcterms:W3CDTF">2012-11-17T02:03:32Z</dcterms:modified>
</cp:coreProperties>
</file>